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yllistenkorang/Downloads/"/>
    </mc:Choice>
  </mc:AlternateContent>
  <xr:revisionPtr revIDLastSave="0" documentId="13_ncr:1_{A2F73ED2-1206-1C44-AD73-461F2E9A2DBE}" xr6:coauthVersionLast="47" xr6:coauthVersionMax="47" xr10:uidLastSave="{00000000-0000-0000-0000-000000000000}"/>
  <bookViews>
    <workbookView xWindow="2140" yWindow="500" windowWidth="23300" windowHeight="16360" xr2:uid="{D0E166B2-A471-D846-8B51-F15AF6A1B3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" l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31" i="1"/>
  <c r="E62" i="1" l="1"/>
</calcChain>
</file>

<file path=xl/sharedStrings.xml><?xml version="1.0" encoding="utf-8"?>
<sst xmlns="http://schemas.openxmlformats.org/spreadsheetml/2006/main" count="92" uniqueCount="68">
  <si>
    <t>NAME</t>
  </si>
  <si>
    <t>VALUE</t>
  </si>
  <si>
    <t>DESCRIPTION</t>
  </si>
  <si>
    <t xml:space="preserve">RANGE </t>
  </si>
  <si>
    <t>DISTRIBUTION</t>
  </si>
  <si>
    <t>SOURCE</t>
  </si>
  <si>
    <t>p_early_presentation</t>
  </si>
  <si>
    <t>p_thalassaemia_trait_W</t>
  </si>
  <si>
    <t>p_thalassaemia_trait_M</t>
  </si>
  <si>
    <t>p_one_partner_trait</t>
  </si>
  <si>
    <t>p_both_partners_trait</t>
  </si>
  <si>
    <t>p_PND</t>
  </si>
  <si>
    <t>p_abortion</t>
  </si>
  <si>
    <t>p_C</t>
  </si>
  <si>
    <t>p_T</t>
  </si>
  <si>
    <t>p_reconsideration</t>
  </si>
  <si>
    <t>cost of abortion</t>
  </si>
  <si>
    <t>probability of presenting before 20 weeks</t>
  </si>
  <si>
    <t>probability of one partner having a trait</t>
  </si>
  <si>
    <t>probability of both partners having a trait</t>
  </si>
  <si>
    <t>probability of couple agreeing to PND</t>
  </si>
  <si>
    <t>probability of couple agreeing to abortion</t>
  </si>
  <si>
    <t>probability of carrier baby</t>
  </si>
  <si>
    <t>probablity of baby with severe thalassaemia</t>
  </si>
  <si>
    <t>probability of couple reconsidering decision to conceive</t>
  </si>
  <si>
    <t>EXPLANATION / JUSTIFICATION</t>
  </si>
  <si>
    <t>play around with this for scenario analyses</t>
  </si>
  <si>
    <t>estimated from Mendelian pattern of inheritance</t>
  </si>
  <si>
    <t>28.8 – 87.4%</t>
  </si>
  <si>
    <t>Proportion of couples at risk of newborn having severe Thalassaemia who received PND</t>
  </si>
  <si>
    <t xml:space="preserve">34.6 – 100% </t>
  </si>
  <si>
    <t>Proportion of proven cases of severe foetal Thalassaemia who underwent termination of pregnancy</t>
  </si>
  <si>
    <t>Research Report: An evaluation of thalassemia prevention and control in pregnancy program [Internet]. HITAP: โครงการประเมินเทคโนโลยีและนโยบายด้านสุขภาพ. [cited 2025 May 26]. Available from: https://www.hitap.net/en/documents/174635</t>
  </si>
  <si>
    <t>cost_hb_typing</t>
  </si>
  <si>
    <t>Cost of Hb typing</t>
  </si>
  <si>
    <t>Cost of Thalassemia Alpha screening</t>
  </si>
  <si>
    <t>Cost of Thalassemia Beta screening</t>
  </si>
  <si>
    <t>One of this choices 1. Chorionic villus sampling, 2. Amniocentesis, 3. Cordocentesis</t>
  </si>
  <si>
    <t>https://khonkaen2.nhso.go.th/app/law/files/154.pdf</t>
  </si>
  <si>
    <t>Announcement of the National Health Security Office on Payment for Public Health Services for the Prevention and Control of Thalassemia in Pregnant Women B.E. 2564 (2021)</t>
  </si>
  <si>
    <t>“Expenses” means the cost of public health services that healthcare providers are entitled to receive from the National Health Security Fund for the prevention and control of thalassemia in pregnant women.</t>
  </si>
  <si>
    <t>CBC (+ diff. + RBC morphology + plt count) by automation </t>
  </si>
  <si>
    <t>121.00 </t>
  </si>
  <si>
    <t>CBC (+ diff. + RBC morphology, platelet smear) - Manual </t>
  </si>
  <si>
    <t>81.00 </t>
  </si>
  <si>
    <t>HITAP</t>
  </si>
  <si>
    <t>https://costingmenu.hitap.net/</t>
  </si>
  <si>
    <t>Cost of prenatal diagnosis (diagnostic procedure + DNA analysis)</t>
  </si>
  <si>
    <t>2500 + 3000</t>
  </si>
  <si>
    <t>cost of CBC + MCV and/or DCIP/Hb E screening</t>
  </si>
  <si>
    <t>Unadjusted cost</t>
  </si>
  <si>
    <t>Cost per year</t>
  </si>
  <si>
    <t>Discount rate</t>
  </si>
  <si>
    <t>Lifetime cost</t>
  </si>
  <si>
    <t>This should be from literature, i.e, allele frequencies</t>
  </si>
  <si>
    <t>cost_CBC</t>
  </si>
  <si>
    <t>Assumption, play around with this in scenario analyses</t>
  </si>
  <si>
    <t>probability of beta/ Hb E trait in woman</t>
  </si>
  <si>
    <t>probability of beta/Hb E trait in man</t>
  </si>
  <si>
    <t>13 - 18%</t>
  </si>
  <si>
    <t>Average prevalence of beta trait in Thailand - 5%, Hb E - 13%. Similar values for pregnant and unpregnant couple</t>
  </si>
  <si>
    <t>Dirichlet</t>
  </si>
  <si>
    <t>Calculated from above using Punnett square**</t>
  </si>
  <si>
    <t>Beta</t>
  </si>
  <si>
    <t>Life-time cost for managing a patient with beta/HbE thalassaemia (direct medical costs)</t>
  </si>
  <si>
    <t>Probabilities</t>
  </si>
  <si>
    <t>Gamma</t>
  </si>
  <si>
    <t>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</si>
</sst>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rgb="FFFF0000"/>
      <name val="Aptos Narrow"/>
      <scheme val="minor"/>
    </font>
    <font>
      <sz val="8"/>
      <name val="Aptos Narrow"/>
      <family val="2"/>
      <scheme val="minor"/>
    </font>
    <font>
      <sz val="12"/>
      <color rgb="FFC00000"/>
      <name val="Aptos Narrow"/>
      <family val="2"/>
      <scheme val="minor"/>
    </font>
    <font>
      <sz val="12"/>
      <color rgb="FF0055AA"/>
      <name val="Tahoma"/>
      <family val="2"/>
    </font>
    <font>
      <u/>
      <sz val="12"/>
      <color theme="10"/>
      <name val="Aptos Narrow"/>
      <family val="2"/>
      <scheme val="minor"/>
    </font>
    <font>
      <sz val="12"/>
      <color rgb="FFFF0000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1"/>
    <xf numFmtId="9" fontId="0" fillId="0" borderId="0" xfId="0" applyNumberFormat="1"/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khonkaen2.nhso.go.th/app/law/files/15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148DD-9D30-9543-B0F7-1C641421C9F1}">
  <dimension ref="A1:I62"/>
  <sheetViews>
    <sheetView tabSelected="1" workbookViewId="0"/>
  </sheetViews>
  <sheetFormatPr baseColWidth="10" defaultRowHeight="16" x14ac:dyDescent="0.2"/>
  <cols>
    <col min="1" max="1" width="22.5" style="3" customWidth="1"/>
    <col min="2" max="2" width="46" style="1" customWidth="1"/>
    <col min="3" max="3" width="15.1640625" customWidth="1"/>
    <col min="4" max="4" width="19.1640625" customWidth="1"/>
    <col min="5" max="5" width="18.83203125" customWidth="1"/>
    <col min="6" max="6" width="43.6640625" customWidth="1"/>
    <col min="7" max="7" width="64.6640625" style="1" customWidth="1"/>
  </cols>
  <sheetData>
    <row r="1" spans="1:9" s="2" customFormat="1" ht="17" x14ac:dyDescent="0.2">
      <c r="A1" s="2" t="s">
        <v>0</v>
      </c>
      <c r="B1" s="6" t="s">
        <v>2</v>
      </c>
      <c r="C1" s="2" t="s">
        <v>1</v>
      </c>
      <c r="D1" s="2" t="s">
        <v>3</v>
      </c>
      <c r="E1" s="2" t="s">
        <v>4</v>
      </c>
      <c r="F1" s="2" t="s">
        <v>5</v>
      </c>
      <c r="G1" s="6" t="s">
        <v>25</v>
      </c>
    </row>
    <row r="2" spans="1:9" s="2" customFormat="1" x14ac:dyDescent="0.2">
      <c r="A2" s="2" t="s">
        <v>67</v>
      </c>
      <c r="B2" s="6"/>
      <c r="G2" s="6"/>
    </row>
    <row r="3" spans="1:9" ht="17" x14ac:dyDescent="0.2">
      <c r="A3" s="3" t="s">
        <v>55</v>
      </c>
      <c r="B3" s="1" t="s">
        <v>49</v>
      </c>
      <c r="C3">
        <v>120</v>
      </c>
      <c r="E3" t="s">
        <v>66</v>
      </c>
    </row>
    <row r="4" spans="1:9" s="4" customFormat="1" ht="68" x14ac:dyDescent="0.2">
      <c r="A4" s="4" t="s">
        <v>33</v>
      </c>
      <c r="B4" s="5" t="s">
        <v>34</v>
      </c>
      <c r="C4" s="4">
        <v>270</v>
      </c>
      <c r="E4" s="4" t="s">
        <v>66</v>
      </c>
      <c r="F4" s="5" t="s">
        <v>39</v>
      </c>
      <c r="G4" s="5" t="s">
        <v>40</v>
      </c>
      <c r="H4" s="11" t="s">
        <v>38</v>
      </c>
    </row>
    <row r="5" spans="1:9" s="4" customFormat="1" ht="68" x14ac:dyDescent="0.2">
      <c r="B5" s="5" t="s">
        <v>35</v>
      </c>
      <c r="C5" s="4">
        <v>800</v>
      </c>
      <c r="F5" s="5" t="s">
        <v>39</v>
      </c>
      <c r="G5" s="5" t="s">
        <v>40</v>
      </c>
    </row>
    <row r="6" spans="1:9" s="4" customFormat="1" ht="68" x14ac:dyDescent="0.2">
      <c r="B6" s="5" t="s">
        <v>36</v>
      </c>
      <c r="C6" s="4">
        <v>3000</v>
      </c>
      <c r="E6" s="4" t="s">
        <v>66</v>
      </c>
      <c r="F6" s="5" t="s">
        <v>39</v>
      </c>
      <c r="G6" s="5" t="s">
        <v>40</v>
      </c>
    </row>
    <row r="7" spans="1:9" s="4" customFormat="1" ht="68" x14ac:dyDescent="0.2">
      <c r="B7" s="5" t="s">
        <v>47</v>
      </c>
      <c r="C7" s="4" t="s">
        <v>48</v>
      </c>
      <c r="E7" s="4" t="s">
        <v>66</v>
      </c>
      <c r="F7" s="5" t="s">
        <v>39</v>
      </c>
      <c r="G7" s="5" t="s">
        <v>40</v>
      </c>
      <c r="H7" s="4" t="s">
        <v>37</v>
      </c>
    </row>
    <row r="8" spans="1:9" s="4" customFormat="1" ht="68" x14ac:dyDescent="0.2">
      <c r="B8" s="9" t="s">
        <v>16</v>
      </c>
      <c r="C8" s="4">
        <v>3000</v>
      </c>
      <c r="E8" s="4" t="s">
        <v>66</v>
      </c>
      <c r="F8" s="5" t="s">
        <v>39</v>
      </c>
      <c r="G8" s="5" t="s">
        <v>40</v>
      </c>
    </row>
    <row r="9" spans="1:9" s="4" customFormat="1" ht="33" x14ac:dyDescent="0.2">
      <c r="B9" s="10" t="s">
        <v>41</v>
      </c>
      <c r="C9" s="8" t="s">
        <v>42</v>
      </c>
      <c r="D9" s="8"/>
      <c r="E9" s="8"/>
      <c r="F9" s="8" t="s">
        <v>45</v>
      </c>
      <c r="H9" s="8"/>
      <c r="I9" s="8" t="s">
        <v>46</v>
      </c>
    </row>
    <row r="10" spans="1:9" s="4" customFormat="1" ht="33" x14ac:dyDescent="0.2">
      <c r="B10" s="10" t="s">
        <v>43</v>
      </c>
      <c r="C10" s="8" t="s">
        <v>44</v>
      </c>
      <c r="D10" s="8"/>
      <c r="E10" s="8"/>
      <c r="F10" s="8" t="s">
        <v>45</v>
      </c>
      <c r="H10" s="8"/>
      <c r="I10"/>
    </row>
    <row r="11" spans="1:9" s="4" customFormat="1" x14ac:dyDescent="0.2">
      <c r="B11" s="10"/>
      <c r="C11" s="8"/>
      <c r="D11" s="8"/>
      <c r="E11" s="8"/>
      <c r="F11" s="8"/>
      <c r="H11" s="8"/>
      <c r="I11"/>
    </row>
    <row r="12" spans="1:9" x14ac:dyDescent="0.2">
      <c r="A12" s="2" t="s">
        <v>65</v>
      </c>
    </row>
    <row r="13" spans="1:9" ht="17" x14ac:dyDescent="0.2">
      <c r="A13" s="3" t="s">
        <v>6</v>
      </c>
      <c r="B13" s="1" t="s">
        <v>17</v>
      </c>
      <c r="C13">
        <v>0.8</v>
      </c>
      <c r="G13" s="1" t="s">
        <v>56</v>
      </c>
    </row>
    <row r="14" spans="1:9" ht="34" x14ac:dyDescent="0.2">
      <c r="A14" s="3" t="s">
        <v>7</v>
      </c>
      <c r="B14" s="1" t="s">
        <v>57</v>
      </c>
      <c r="C14" s="7">
        <v>0.16</v>
      </c>
      <c r="D14" t="s">
        <v>59</v>
      </c>
      <c r="E14" t="s">
        <v>63</v>
      </c>
      <c r="F14" s="13" t="s">
        <v>54</v>
      </c>
      <c r="G14" s="1" t="s">
        <v>60</v>
      </c>
    </row>
    <row r="15" spans="1:9" ht="17" x14ac:dyDescent="0.2">
      <c r="A15" s="3" t="s">
        <v>8</v>
      </c>
      <c r="B15" s="1" t="s">
        <v>58</v>
      </c>
      <c r="C15" s="7">
        <v>0.16</v>
      </c>
      <c r="D15" t="s">
        <v>59</v>
      </c>
      <c r="E15" t="s">
        <v>63</v>
      </c>
      <c r="F15" s="13" t="s">
        <v>54</v>
      </c>
    </row>
    <row r="16" spans="1:9" ht="17" x14ac:dyDescent="0.2">
      <c r="A16" s="3" t="s">
        <v>9</v>
      </c>
      <c r="B16" s="1" t="s">
        <v>18</v>
      </c>
      <c r="C16" s="7">
        <v>0.26879999999999998</v>
      </c>
      <c r="E16" t="s">
        <v>61</v>
      </c>
      <c r="F16" s="13" t="s">
        <v>54</v>
      </c>
      <c r="G16" s="1" t="s">
        <v>62</v>
      </c>
    </row>
    <row r="17" spans="1:7" ht="85" x14ac:dyDescent="0.2">
      <c r="A17" s="3" t="s">
        <v>10</v>
      </c>
      <c r="B17" s="1" t="s">
        <v>19</v>
      </c>
      <c r="C17" s="7">
        <v>2.5600000000000001E-2</v>
      </c>
      <c r="E17" t="s">
        <v>61</v>
      </c>
      <c r="F17" s="1" t="s">
        <v>32</v>
      </c>
      <c r="G17" s="1" t="s">
        <v>62</v>
      </c>
    </row>
    <row r="18" spans="1:7" ht="85" x14ac:dyDescent="0.2">
      <c r="A18" s="3" t="s">
        <v>11</v>
      </c>
      <c r="B18" s="1" t="s">
        <v>20</v>
      </c>
      <c r="C18">
        <v>0.57999999999999996</v>
      </c>
      <c r="D18" t="s">
        <v>28</v>
      </c>
      <c r="E18" t="s">
        <v>63</v>
      </c>
      <c r="F18" s="1" t="s">
        <v>32</v>
      </c>
      <c r="G18" s="1" t="s">
        <v>29</v>
      </c>
    </row>
    <row r="19" spans="1:7" ht="85" x14ac:dyDescent="0.2">
      <c r="A19" s="3" t="s">
        <v>12</v>
      </c>
      <c r="B19" s="1" t="s">
        <v>21</v>
      </c>
      <c r="C19">
        <v>0.67</v>
      </c>
      <c r="D19" t="s">
        <v>30</v>
      </c>
      <c r="E19" t="s">
        <v>63</v>
      </c>
      <c r="F19" s="1" t="s">
        <v>32</v>
      </c>
      <c r="G19" s="1" t="s">
        <v>31</v>
      </c>
    </row>
    <row r="20" spans="1:7" ht="17" x14ac:dyDescent="0.2">
      <c r="A20" s="3" t="s">
        <v>13</v>
      </c>
      <c r="B20" s="1" t="s">
        <v>22</v>
      </c>
      <c r="C20">
        <v>0.5</v>
      </c>
      <c r="G20" s="1" t="s">
        <v>27</v>
      </c>
    </row>
    <row r="21" spans="1:7" ht="17" x14ac:dyDescent="0.2">
      <c r="A21" s="3" t="s">
        <v>14</v>
      </c>
      <c r="B21" s="1" t="s">
        <v>23</v>
      </c>
      <c r="C21">
        <v>0.25</v>
      </c>
      <c r="G21" s="1" t="s">
        <v>27</v>
      </c>
    </row>
    <row r="22" spans="1:7" ht="34" x14ac:dyDescent="0.2">
      <c r="A22" s="3" t="s">
        <v>15</v>
      </c>
      <c r="B22" s="1" t="s">
        <v>24</v>
      </c>
      <c r="C22">
        <v>0.5</v>
      </c>
      <c r="G22" s="1" t="s">
        <v>26</v>
      </c>
    </row>
    <row r="27" spans="1:7" x14ac:dyDescent="0.2">
      <c r="D27" s="2" t="s">
        <v>64</v>
      </c>
    </row>
    <row r="28" spans="1:7" x14ac:dyDescent="0.2">
      <c r="D28" t="s">
        <v>52</v>
      </c>
      <c r="E28" s="12">
        <v>0.03</v>
      </c>
    </row>
    <row r="30" spans="1:7" x14ac:dyDescent="0.2">
      <c r="D30" t="s">
        <v>50</v>
      </c>
      <c r="E30" t="s">
        <v>51</v>
      </c>
    </row>
    <row r="31" spans="1:7" x14ac:dyDescent="0.2">
      <c r="C31">
        <v>1</v>
      </c>
      <c r="D31">
        <v>33544.220739999997</v>
      </c>
      <c r="E31">
        <f>D31/(1+$E$28)^(C31-1)</f>
        <v>33544.220739999997</v>
      </c>
    </row>
    <row r="32" spans="1:7" x14ac:dyDescent="0.2">
      <c r="C32">
        <v>2</v>
      </c>
      <c r="D32">
        <v>33544.220739999997</v>
      </c>
      <c r="E32">
        <f t="shared" ref="E32:E60" si="0">D32/(1+$E$28)^(C32-1)</f>
        <v>32567.204601941743</v>
      </c>
    </row>
    <row r="33" spans="3:5" x14ac:dyDescent="0.2">
      <c r="C33">
        <v>3</v>
      </c>
      <c r="D33">
        <v>33544.220739999997</v>
      </c>
      <c r="E33">
        <f t="shared" si="0"/>
        <v>31618.645244603638</v>
      </c>
    </row>
    <row r="34" spans="3:5" x14ac:dyDescent="0.2">
      <c r="C34">
        <v>4</v>
      </c>
      <c r="D34">
        <v>33544.220739999997</v>
      </c>
      <c r="E34">
        <f t="shared" si="0"/>
        <v>30697.713829712269</v>
      </c>
    </row>
    <row r="35" spans="3:5" x14ac:dyDescent="0.2">
      <c r="C35">
        <v>5</v>
      </c>
      <c r="D35">
        <v>33544.220739999997</v>
      </c>
      <c r="E35">
        <f t="shared" si="0"/>
        <v>29803.605659914825</v>
      </c>
    </row>
    <row r="36" spans="3:5" x14ac:dyDescent="0.2">
      <c r="C36">
        <v>6</v>
      </c>
      <c r="D36">
        <v>33544.220739999997</v>
      </c>
      <c r="E36">
        <f t="shared" si="0"/>
        <v>28935.539475645463</v>
      </c>
    </row>
    <row r="37" spans="3:5" x14ac:dyDescent="0.2">
      <c r="C37">
        <v>7</v>
      </c>
      <c r="D37">
        <v>33544.220739999997</v>
      </c>
      <c r="E37">
        <f t="shared" si="0"/>
        <v>28092.756772471323</v>
      </c>
    </row>
    <row r="38" spans="3:5" x14ac:dyDescent="0.2">
      <c r="C38">
        <v>8</v>
      </c>
      <c r="D38">
        <v>33544.220739999997</v>
      </c>
      <c r="E38">
        <f t="shared" si="0"/>
        <v>27274.52113832167</v>
      </c>
    </row>
    <row r="39" spans="3:5" x14ac:dyDescent="0.2">
      <c r="C39">
        <v>9</v>
      </c>
      <c r="D39">
        <v>33544.220739999997</v>
      </c>
      <c r="E39">
        <f t="shared" si="0"/>
        <v>26480.117610021043</v>
      </c>
    </row>
    <row r="40" spans="3:5" x14ac:dyDescent="0.2">
      <c r="C40">
        <v>10</v>
      </c>
      <c r="D40">
        <v>33544.220739999997</v>
      </c>
      <c r="E40">
        <f t="shared" si="0"/>
        <v>25708.852048564117</v>
      </c>
    </row>
    <row r="41" spans="3:5" x14ac:dyDescent="0.2">
      <c r="C41">
        <v>11</v>
      </c>
      <c r="D41">
        <v>33544.220739999997</v>
      </c>
      <c r="E41">
        <f t="shared" si="0"/>
        <v>24960.050532586523</v>
      </c>
    </row>
    <row r="42" spans="3:5" x14ac:dyDescent="0.2">
      <c r="C42">
        <v>12</v>
      </c>
      <c r="D42">
        <v>33544.220739999997</v>
      </c>
      <c r="E42">
        <f t="shared" si="0"/>
        <v>24233.058769501476</v>
      </c>
    </row>
    <row r="43" spans="3:5" x14ac:dyDescent="0.2">
      <c r="C43">
        <v>13</v>
      </c>
      <c r="D43">
        <v>33544.220739999997</v>
      </c>
      <c r="E43">
        <f t="shared" si="0"/>
        <v>23527.241523787845</v>
      </c>
    </row>
    <row r="44" spans="3:5" x14ac:dyDescent="0.2">
      <c r="C44">
        <v>14</v>
      </c>
      <c r="D44">
        <v>33544.220739999997</v>
      </c>
      <c r="E44">
        <f t="shared" si="0"/>
        <v>22841.982061929946</v>
      </c>
    </row>
    <row r="45" spans="3:5" x14ac:dyDescent="0.2">
      <c r="C45">
        <v>15</v>
      </c>
      <c r="D45">
        <v>33544.220739999997</v>
      </c>
      <c r="E45">
        <f t="shared" si="0"/>
        <v>22176.681613524219</v>
      </c>
    </row>
    <row r="46" spans="3:5" x14ac:dyDescent="0.2">
      <c r="C46">
        <v>16</v>
      </c>
      <c r="D46">
        <v>33544.220739999997</v>
      </c>
      <c r="E46">
        <f t="shared" si="0"/>
        <v>21530.758848081765</v>
      </c>
    </row>
    <row r="47" spans="3:5" x14ac:dyDescent="0.2">
      <c r="C47">
        <v>17</v>
      </c>
      <c r="D47">
        <v>33544.220739999997</v>
      </c>
      <c r="E47">
        <f t="shared" si="0"/>
        <v>20903.649367069676</v>
      </c>
    </row>
    <row r="48" spans="3:5" x14ac:dyDescent="0.2">
      <c r="C48">
        <v>18</v>
      </c>
      <c r="D48">
        <v>33544.220739999997</v>
      </c>
      <c r="E48">
        <f t="shared" si="0"/>
        <v>20294.805210747261</v>
      </c>
    </row>
    <row r="49" spans="3:5" x14ac:dyDescent="0.2">
      <c r="C49">
        <v>19</v>
      </c>
      <c r="D49">
        <v>33544.220739999997</v>
      </c>
      <c r="E49">
        <f t="shared" si="0"/>
        <v>19703.694379366272</v>
      </c>
    </row>
    <row r="50" spans="3:5" x14ac:dyDescent="0.2">
      <c r="C50">
        <v>20</v>
      </c>
      <c r="D50">
        <v>33544.220739999997</v>
      </c>
      <c r="E50">
        <f t="shared" si="0"/>
        <v>19129.80036831677</v>
      </c>
    </row>
    <row r="51" spans="3:5" x14ac:dyDescent="0.2">
      <c r="C51">
        <v>21</v>
      </c>
      <c r="D51">
        <v>33544.220739999997</v>
      </c>
      <c r="E51">
        <f t="shared" si="0"/>
        <v>18572.621716812399</v>
      </c>
    </row>
    <row r="52" spans="3:5" x14ac:dyDescent="0.2">
      <c r="C52">
        <v>22</v>
      </c>
      <c r="D52">
        <v>33544.220739999997</v>
      </c>
      <c r="E52">
        <f t="shared" si="0"/>
        <v>18031.671569720776</v>
      </c>
    </row>
    <row r="53" spans="3:5" x14ac:dyDescent="0.2">
      <c r="C53">
        <v>23</v>
      </c>
      <c r="D53">
        <v>33544.220739999997</v>
      </c>
      <c r="E53">
        <f t="shared" si="0"/>
        <v>17506.477252156092</v>
      </c>
    </row>
    <row r="54" spans="3:5" x14ac:dyDescent="0.2">
      <c r="C54">
        <v>24</v>
      </c>
      <c r="D54">
        <v>33544.220739999997</v>
      </c>
      <c r="E54">
        <f t="shared" si="0"/>
        <v>16996.579856462224</v>
      </c>
    </row>
    <row r="55" spans="3:5" x14ac:dyDescent="0.2">
      <c r="C55">
        <v>25</v>
      </c>
      <c r="D55">
        <v>33544.220739999997</v>
      </c>
      <c r="E55">
        <f t="shared" si="0"/>
        <v>16501.533841225464</v>
      </c>
    </row>
    <row r="56" spans="3:5" x14ac:dyDescent="0.2">
      <c r="C56">
        <v>26</v>
      </c>
      <c r="D56">
        <v>33544.220739999997</v>
      </c>
      <c r="E56">
        <f t="shared" si="0"/>
        <v>16020.906641966469</v>
      </c>
    </row>
    <row r="57" spans="3:5" x14ac:dyDescent="0.2">
      <c r="C57">
        <v>27</v>
      </c>
      <c r="D57">
        <v>33544.220739999997</v>
      </c>
      <c r="E57">
        <f t="shared" si="0"/>
        <v>15554.278293171326</v>
      </c>
    </row>
    <row r="58" spans="3:5" x14ac:dyDescent="0.2">
      <c r="C58">
        <v>28</v>
      </c>
      <c r="D58">
        <v>33544.220739999997</v>
      </c>
      <c r="E58">
        <f t="shared" si="0"/>
        <v>15101.241061331388</v>
      </c>
    </row>
    <row r="59" spans="3:5" x14ac:dyDescent="0.2">
      <c r="C59">
        <v>29</v>
      </c>
      <c r="D59">
        <v>33544.220739999997</v>
      </c>
      <c r="E59">
        <f t="shared" si="0"/>
        <v>14661.399088671249</v>
      </c>
    </row>
    <row r="60" spans="3:5" x14ac:dyDescent="0.2">
      <c r="C60">
        <v>30</v>
      </c>
      <c r="D60">
        <v>33544.220739999997</v>
      </c>
      <c r="E60">
        <f t="shared" si="0"/>
        <v>14234.368047253642</v>
      </c>
    </row>
    <row r="62" spans="3:5" x14ac:dyDescent="0.2">
      <c r="D62" t="s">
        <v>53</v>
      </c>
      <c r="E62">
        <f>SUM(E31:E60)</f>
        <v>677205.97716487863</v>
      </c>
    </row>
  </sheetData>
  <phoneticPr fontId="5" type="noConversion"/>
  <hyperlinks>
    <hyperlink ref="H4" r:id="rId1" xr:uid="{02FD81F3-3123-5F40-AD45-CC5825299B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Phyllis Tenkorang</dc:creator>
  <cp:lastModifiedBy>Phyllis Tenkorang</cp:lastModifiedBy>
  <dcterms:created xsi:type="dcterms:W3CDTF">2025-05-28T08:11:36Z</dcterms:created>
  <dcterms:modified xsi:type="dcterms:W3CDTF">2025-06-18T07:22:02Z</dcterms:modified>
</cp:coreProperties>
</file>